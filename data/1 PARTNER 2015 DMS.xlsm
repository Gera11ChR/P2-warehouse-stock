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erar\Documents\1 A DMS Telecom\INVENTARIO\"/>
    </mc:Choice>
  </mc:AlternateContent>
  <xr:revisionPtr revIDLastSave="0" documentId="13_ncr:1_{8C77622A-C7CF-49D0-9863-9A58D340E269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Inventario Fibra Óptica" sheetId="1" r:id="rId1"/>
    <sheet name="FO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0" i="1" l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5" i="1"/>
  <c r="F44" i="1"/>
  <c r="F43" i="1"/>
  <c r="F42" i="1"/>
  <c r="F41" i="1"/>
  <c r="F39" i="1"/>
  <c r="F38" i="1"/>
  <c r="F37" i="1"/>
  <c r="F36" i="1"/>
  <c r="F35" i="1"/>
  <c r="F46" i="1"/>
  <c r="A9" i="1" a="1"/>
  <c r="F6" i="2"/>
  <c r="F5" i="2"/>
  <c r="F4" i="2"/>
  <c r="F3" i="2"/>
  <c r="F2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<sst xmlns="http://schemas.openxmlformats.org/spreadsheetml/2006/main" count="220" uniqueCount="143">
  <si>
    <t>SISTEMA DE CONTROL DE INVENTARIO - LOGÍSTICA DE FIBRA ÓPTICA</t>
  </si>
  <si>
    <t>CÓDIGO (SKU)</t>
  </si>
  <si>
    <t>CATEGORÍA</t>
  </si>
  <si>
    <t>DESCRIPCIÓN DEL MATERIAL / VARIANTE</t>
  </si>
  <si>
    <t>U.M.</t>
  </si>
  <si>
    <t>STOCK ACTUAL</t>
  </si>
  <si>
    <t>STOCK MÍNIMO</t>
  </si>
  <si>
    <t>ALERTA STOCK</t>
  </si>
  <si>
    <t>VALOR TOTAL ESTIMADO EN INVENTARIO (M.N.)</t>
  </si>
  <si>
    <t>In use</t>
  </si>
  <si>
    <t>Carrete (5 km) / Metro (m)</t>
  </si>
  <si>
    <t>Carrete (1 km) / Metro (m)</t>
  </si>
  <si>
    <t xml:space="preserve">Carretes Grandes FO 12H *Brand </t>
  </si>
  <si>
    <t xml:space="preserve">Carretes Grandes FO 24H *Brand </t>
  </si>
  <si>
    <t xml:space="preserve">Carretes Grandes FO 48H *Brand </t>
  </si>
  <si>
    <t xml:space="preserve">Carretes Grandes FO 6H *Brand </t>
  </si>
  <si>
    <t xml:space="preserve">Carrete Fibra Drop </t>
  </si>
  <si>
    <t>CON-ACO-001</t>
  </si>
  <si>
    <t>EMP-ALC-001</t>
  </si>
  <si>
    <t>HER-BRA-003</t>
  </si>
  <si>
    <t>HER-BRA-001</t>
  </si>
  <si>
    <t>HER-BRA-002</t>
  </si>
  <si>
    <t>CIE-NAP-002</t>
  </si>
  <si>
    <t>CIE-NAP-001</t>
  </si>
  <si>
    <t>CAB-CAR-002</t>
  </si>
  <si>
    <t>CAB-CAR-003</t>
  </si>
  <si>
    <t>CAB-CAR-004</t>
  </si>
  <si>
    <t>CAB-CAR-001</t>
  </si>
  <si>
    <t>CIE-CIE-001</t>
  </si>
  <si>
    <t>CIE-CIE-002</t>
  </si>
  <si>
    <t>EMP-CIN-001</t>
  </si>
  <si>
    <t>EMP-CIN-002</t>
  </si>
  <si>
    <t>CON-CON-001</t>
  </si>
  <si>
    <t>CAB-FIB-001</t>
  </si>
  <si>
    <t>HER-FLE-001</t>
  </si>
  <si>
    <t>HER-FUS-001</t>
  </si>
  <si>
    <t>HER-GRA-001</t>
  </si>
  <si>
    <t>HER-HEB-001</t>
  </si>
  <si>
    <t>HER-HER-001</t>
  </si>
  <si>
    <t>HER-HER-002</t>
  </si>
  <si>
    <t>HER-HER-003</t>
  </si>
  <si>
    <t>CON-JUM-002</t>
  </si>
  <si>
    <t>CON-JUM-001</t>
  </si>
  <si>
    <t>CON-JUM-003</t>
  </si>
  <si>
    <t>HER-MAL-001</t>
  </si>
  <si>
    <t>EMP-MAN-001</t>
  </si>
  <si>
    <t>EMP-MAN-002</t>
  </si>
  <si>
    <t>EMP-MAN-003</t>
  </si>
  <si>
    <t>EQU-MOD-001</t>
  </si>
  <si>
    <t>HER-RET-001</t>
  </si>
  <si>
    <t>HER-RET-002</t>
  </si>
  <si>
    <t>HER-RET-003</t>
  </si>
  <si>
    <t>RED-SPL-001</t>
  </si>
  <si>
    <t>RED-SPL-002</t>
  </si>
  <si>
    <t>RED-SPL-004</t>
  </si>
  <si>
    <t>RED-SPL-003</t>
  </si>
  <si>
    <t>RED-SPL-005</t>
  </si>
  <si>
    <t>RED-SPL-006</t>
  </si>
  <si>
    <t>RED-SPL-007</t>
  </si>
  <si>
    <t>RED-SPL-008</t>
  </si>
  <si>
    <t>RED-SPL-009</t>
  </si>
  <si>
    <t>RED-SPL-011</t>
  </si>
  <si>
    <t>RED-SPL-010</t>
  </si>
  <si>
    <t>RED-SPL-012</t>
  </si>
  <si>
    <t>RED-SPL-013</t>
  </si>
  <si>
    <t>RED-SPL-014</t>
  </si>
  <si>
    <t>RED-SPL-015</t>
  </si>
  <si>
    <t>RED-SPL-016</t>
  </si>
  <si>
    <t>RED-SPL-017</t>
  </si>
  <si>
    <t>HER-TEN-001</t>
  </si>
  <si>
    <t>New Package</t>
  </si>
  <si>
    <t>Metros Restantes</t>
  </si>
  <si>
    <t/>
  </si>
  <si>
    <t>DESCRIPCIÓN</t>
  </si>
  <si>
    <t>ALERTA STO</t>
  </si>
  <si>
    <t>ACOPLADORES</t>
  </si>
  <si>
    <t>PIEZA (PZ)</t>
  </si>
  <si>
    <t>ALCOHOL ISOPROPÍLICO 1LT</t>
  </si>
  <si>
    <t>LITRO (LT)</t>
  </si>
  <si>
    <t>BRAZOS DE SOPORTE 1M</t>
  </si>
  <si>
    <t>BRAZOS DE SOPORTE 45CM</t>
  </si>
  <si>
    <t>BRAZOS DE SOPORTE 60CM</t>
  </si>
  <si>
    <t>CAJAS NAP SANDWICH 1*16</t>
  </si>
  <si>
    <t>CAJAS NAP SANDWICH 1*8</t>
  </si>
  <si>
    <t xml:space="preserve">CARRETE FIBRA DROP </t>
  </si>
  <si>
    <t>CARRETE (1 KM) / METRO (M)</t>
  </si>
  <si>
    <t xml:space="preserve">CARRETES GRANDES FO 12H *BRAND </t>
  </si>
  <si>
    <t>CARRETE (5 KM) / METRO (M)</t>
  </si>
  <si>
    <t xml:space="preserve">CARRETES GRANDES FO 24H *BRAND </t>
  </si>
  <si>
    <t xml:space="preserve">CARRETES GRANDES FO 48H *BRAND </t>
  </si>
  <si>
    <t xml:space="preserve">CARRETES GRANDES FO 6H *BRAND </t>
  </si>
  <si>
    <t>CIERRES DE EMPALME DE 48H</t>
  </si>
  <si>
    <t>CIERRES DE EMPALME DE 96H</t>
  </si>
  <si>
    <t>CINCHOS (VARIAS MEDIDAS: 5 HASTA 30)</t>
  </si>
  <si>
    <t>PAQUETE / PIEZA (PZ)</t>
  </si>
  <si>
    <t>CINTA AISLANTE AMARILLA</t>
  </si>
  <si>
    <t>PIEZA / ROLLO</t>
  </si>
  <si>
    <t xml:space="preserve">CONECTORES MECÁNICOS </t>
  </si>
  <si>
    <t xml:space="preserve"> PIEZA (PZ)</t>
  </si>
  <si>
    <t>FLEJE DE ACERO INOXIDABLE "3/4"</t>
  </si>
  <si>
    <t>ROLLO / METRO (M)</t>
  </si>
  <si>
    <t>FUSIONADORES DE FIBRA ÓPTICA</t>
  </si>
  <si>
    <t>EQUIPO / UNIDAD</t>
  </si>
  <si>
    <t xml:space="preserve">GRAPAS 3MM </t>
  </si>
  <si>
    <t>BOLSA (500 PZ)</t>
  </si>
  <si>
    <t>HEBILLAS PARA FLEJE "5/8"</t>
  </si>
  <si>
    <t>PIEZA (PZ) / CAJA</t>
  </si>
  <si>
    <t>HERRAJES TIPO D CHICO CON CHAVETA</t>
  </si>
  <si>
    <t>HERRAJES TIPO D CHICO SIN CHAVETA</t>
  </si>
  <si>
    <t>HERRAJES TIPO J</t>
  </si>
  <si>
    <t>JUMPERS SC/APC - SC/APC AMARILLO SIMPLEX</t>
  </si>
  <si>
    <t>JUMPERS ACP</t>
  </si>
  <si>
    <t>JUMPERS UCP</t>
  </si>
  <si>
    <t>MALICOS (HERRAJE / TENSOR DE REMATADO)</t>
  </si>
  <si>
    <t>MANGAS DE FUSIÓN (60MM / 10MM)</t>
  </si>
  <si>
    <t>PAQUETE (100 PZ) / PIEZA</t>
  </si>
  <si>
    <t>MANGAS DE FUSIÓN (60MM / 12MM)</t>
  </si>
  <si>
    <t>MANGAS DE FUSIÓN (60MM / 15MM)</t>
  </si>
  <si>
    <t>MODEMS</t>
  </si>
  <si>
    <t>PIEZA (PZ) / UNIDAD</t>
  </si>
  <si>
    <t>RETENCIÓN PREFORMADO 10.11MM (NEGRO) (100PZ)</t>
  </si>
  <si>
    <t>RETENCIÓN PREFORMADO 11.12MM (ROJO)</t>
  </si>
  <si>
    <t>RETENCIÓN PREFORMADO 6.7MM (AMARILLO)</t>
  </si>
  <si>
    <t>SPLITTERS DESBALANCEADOS 10/90</t>
  </si>
  <si>
    <t>SPLITTERS DESBALANCEADOS 15/85</t>
  </si>
  <si>
    <t>SPLITTERS DESBALANCEADOS 2/98</t>
  </si>
  <si>
    <t>SPLITTERS DESBALANCEADOS 20/80</t>
  </si>
  <si>
    <t>SPLITTERS DESBALANCEADOS 25/75</t>
  </si>
  <si>
    <t>SPLITTERS DESBALANCEADOS 30/70</t>
  </si>
  <si>
    <t>SPLITTERS DESBALANCEADOS 35/75</t>
  </si>
  <si>
    <t>SPLITTERS DESBALANCEADOS 40/60</t>
  </si>
  <si>
    <t>SPLITTERS DESBALANCEADOS 45/55</t>
  </si>
  <si>
    <t>SPLITTERS DESBALANCEADOS 5/95</t>
  </si>
  <si>
    <t>SPLITTERS DESBALANCEADOS 50/50</t>
  </si>
  <si>
    <t>SPLITTERS PLC 1* 4SIN CONECTORES</t>
  </si>
  <si>
    <t>SPLITTERS PLC 1*16 CONECTORES SC/APC</t>
  </si>
  <si>
    <t>SPLITTERS PLC 1*16 SIN CONECTORES</t>
  </si>
  <si>
    <t>SPLITTERS PLC 1*2 SIN CONECTORES</t>
  </si>
  <si>
    <t>SPLITTERS PLC 1*8 CONECTORES SC/APC</t>
  </si>
  <si>
    <t>SPLITTERS PLC 1*8 SIN CONECTORES</t>
  </si>
  <si>
    <t>TENSORES PARA FIBRA DROP</t>
  </si>
  <si>
    <t>PARTNER 2015 - INTEGRANTES</t>
  </si>
  <si>
    <t>JOEL MUÑOZ MALDONADO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</si>
</sst>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6"/>
      <color rgb="FFFFFFFF"/>
      <name val="Segoe UI"/>
    </font>
    <font>
      <b/>
      <sz val="11"/>
      <color rgb="FFFFFFFF"/>
      <name val="Segoe UI"/>
    </font>
    <font>
      <b/>
      <sz val="11"/>
      <color rgb="FF1F497D"/>
      <name val="Segoe UI"/>
    </font>
    <font>
      <sz val="10"/>
      <color rgb="FF006100"/>
      <name val="Segoe UI"/>
    </font>
    <font>
      <b/>
      <sz val="10"/>
      <color rgb="FF9C0006"/>
      <name val="Segoe UI"/>
    </font>
    <font>
      <b/>
      <sz val="10"/>
      <color rgb="FF9C6500"/>
      <name val="Segoe UI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b/>
      <sz val="11"/>
      <color rgb="FFFFFFFF"/>
      <name val="Segoe UI"/>
      <family val="2"/>
    </font>
    <font>
      <b/>
      <sz val="11"/>
      <color theme="0"/>
      <name val="Segoe UI"/>
      <family val="2"/>
    </font>
    <font>
      <b/>
      <sz val="10"/>
      <color theme="1"/>
      <name val="Segoe UI"/>
      <family val="2"/>
    </font>
    <font>
      <sz val="10"/>
      <color rgb="FF000000"/>
      <name val="Arial"/>
      <family val="2"/>
    </font>
    <font>
      <b/>
      <sz val="11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1F497D"/>
        <bgColor rgb="FF1F497D"/>
      </patternFill>
    </fill>
    <fill>
      <patternFill patternType="solid">
        <fgColor rgb="FF2C3E50"/>
        <bgColor rgb="FF2C3E50"/>
      </patternFill>
    </fill>
    <fill>
      <patternFill patternType="solid">
        <fgColor rgb="FFC6EFCE"/>
        <bgColor rgb="FFC6EFCE"/>
      </patternFill>
    </fill>
    <fill>
      <patternFill patternType="solid">
        <fgColor rgb="FFFFC7CE"/>
        <bgColor rgb="FFFFC7CE"/>
      </patternFill>
    </fill>
    <fill>
      <patternFill patternType="solid">
        <fgColor rgb="FFFFEB9C"/>
        <bgColor rgb="FFFFEB9C"/>
      </patternFill>
    </fill>
    <fill>
      <patternFill patternType="solid">
        <fgColor theme="8"/>
      </patternFill>
    </fill>
    <fill>
      <patternFill patternType="solid">
        <fgColor theme="8" tint="-0.249977111117893"/>
        <bgColor rgb="FF2C3E5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DCE6F1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1F497D"/>
      </top>
      <bottom style="double">
        <color rgb="FF1F497D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</borders>
  <cellStyleXfs count="2">
    <xf numFmtId="0" fontId="0" fillId="0" borderId="0"/>
    <xf numFmtId="0" fontId="8" fillId="7" borderId="0" applyNumberFormat="0" applyBorder="0" applyAlignment="0" applyProtection="0"/>
  </cellStyleXfs>
  <cellXfs count="25">
    <xf numFmtId="0" fontId="0" fillId="0" borderId="0" xfId="0"/>
    <xf numFmtId="0" fontId="2" fillId="3" borderId="0" xfId="0" applyFont="1" applyFill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wrapText="1"/>
    </xf>
    <xf numFmtId="0" fontId="9" fillId="3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2" fillId="8" borderId="0" xfId="0" applyFont="1" applyFill="1" applyAlignment="1">
      <alignment horizontal="center" vertical="center" wrapText="1"/>
    </xf>
    <xf numFmtId="0" fontId="10" fillId="9" borderId="0" xfId="1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9" fillId="8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2" fillId="10" borderId="3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11" borderId="6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11" borderId="7" xfId="0" applyFont="1" applyFill="1" applyBorder="1" applyAlignment="1">
      <alignment horizontal="center" vertical="center"/>
    </xf>
    <xf numFmtId="0" fontId="12" fillId="10" borderId="7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/>
    <xf numFmtId="0" fontId="3" fillId="0" borderId="2" xfId="0" applyFont="1" applyBorder="1" applyAlignment="1">
      <alignment horizontal="right" vertical="center"/>
    </xf>
    <xf numFmtId="0" fontId="13" fillId="0" borderId="0" xfId="0" applyFont="1" applyAlignment="1">
      <alignment horizontal="center" vertical="center"/>
    </xf>
  </cellXfs>
  <cellStyles count="2">
    <cellStyle name="Accent5" xfId="1" builtinId="45"/>
    <cellStyle name="Normal" xfId="0" builtinId="0"/>
  </cellStyles>
  <dxfs count="18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"/>
        <family val="2"/>
        <scheme val="none"/>
      </font>
      <fill>
        <patternFill patternType="solid">
          <fgColor rgb="FF2C3E50"/>
          <bgColor rgb="FF2C3E5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rgb="FF2C3E50"/>
          <bgColor rgb="FF2C3E50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rgb="FF2C3E50"/>
          <bgColor rgb="FF2C3E50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rgb="FF2C3E50"/>
          <bgColor rgb="FF2C3E50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rgb="FF2C3E50"/>
          <bgColor rgb="FF2C3E50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Segoe UI"/>
        <scheme val="none"/>
      </font>
      <fill>
        <patternFill patternType="solid">
          <fgColor rgb="FF2C3E50"/>
          <bgColor rgb="FF2C3E50"/>
        </patternFill>
      </fill>
      <alignment horizontal="center" vertical="center" textRotation="0" wrapText="1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17/06/relationships/rdRichValueTypes" Target="richData/rdRichValueTyp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709494</xdr:colOff>
      <xdr:row>0</xdr:row>
      <xdr:rowOff>185056</xdr:rowOff>
    </xdr:from>
    <xdr:to>
      <xdr:col>4</xdr:col>
      <xdr:colOff>1077686</xdr:colOff>
      <xdr:row>4</xdr:row>
      <xdr:rowOff>43543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3730DC0B-F449-7CB9-41AA-27991AEC9532}"/>
            </a:ext>
          </a:extLst>
        </xdr:cNvPr>
        <xdr:cNvGrpSpPr/>
      </xdr:nvGrpSpPr>
      <xdr:grpSpPr>
        <a:xfrm>
          <a:off x="709494" y="185056"/>
          <a:ext cx="9294478" cy="631373"/>
          <a:chOff x="627531" y="367553"/>
          <a:chExt cx="11456893" cy="609600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FA14C0F3-C2DA-B38D-EB83-BDED92EE5A37}"/>
              </a:ext>
            </a:extLst>
          </xdr:cNvPr>
          <xdr:cNvSpPr/>
        </xdr:nvSpPr>
        <xdr:spPr>
          <a:xfrm>
            <a:off x="636496" y="367553"/>
            <a:ext cx="11447928" cy="59167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" name="Flowchart: Delay 2">
            <a:extLst>
              <a:ext uri="{FF2B5EF4-FFF2-40B4-BE49-F238E27FC236}">
                <a16:creationId xmlns:a16="http://schemas.microsoft.com/office/drawing/2014/main" id="{02F899EC-C118-D29A-496A-7411B5A405D7}"/>
              </a:ext>
            </a:extLst>
          </xdr:cNvPr>
          <xdr:cNvSpPr/>
        </xdr:nvSpPr>
        <xdr:spPr>
          <a:xfrm rot="10800000">
            <a:off x="627531" y="367553"/>
            <a:ext cx="708212" cy="609600"/>
          </a:xfrm>
          <a:prstGeom prst="flowChartDelay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Graphic 4" descr="Magnifying glass with solid fill">
            <a:extLst>
              <a:ext uri="{FF2B5EF4-FFF2-40B4-BE49-F238E27FC236}">
                <a16:creationId xmlns:a16="http://schemas.microsoft.com/office/drawing/2014/main" id="{C742AE9B-7563-723F-096B-DAFF3269E3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35106" y="412376"/>
            <a:ext cx="564777" cy="564777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1422698" y="442857"/>
                <a:ext cx="10358267" cy="4500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1578428</xdr:colOff>
      <xdr:row>28</xdr:row>
      <xdr:rowOff>76200</xdr:rowOff>
    </xdr:from>
    <xdr:to>
      <xdr:col>5</xdr:col>
      <xdr:colOff>3951514</xdr:colOff>
      <xdr:row>30</xdr:row>
      <xdr:rowOff>163286</xdr:rowOff>
    </xdr:to>
    <xdr:sp macro="[0]!Mostrar_Formulario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844D2052-C886-CBAE-AA7D-387B60BA138B}"/>
            </a:ext>
          </a:extLst>
        </xdr:cNvPr>
        <xdr:cNvSpPr/>
      </xdr:nvSpPr>
      <xdr:spPr>
        <a:xfrm>
          <a:off x="11767457" y="5867400"/>
          <a:ext cx="2373086" cy="4572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latin typeface="Arial" panose="020B0604020202020204" pitchFamily="34" charset="0"/>
              <a:cs typeface="Arial" panose="020B0604020202020204" pitchFamily="34" charset="0"/>
            </a:rPr>
            <a:t>Formulario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4</v>
    <v>8</v>
    <v>52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774903-342E-4382-B3AF-5ACF15FF8B1F}" name="MATERIALS" displayName="MATERIALS" ref="A34:F87" insertRowShift="1" totalsRowShown="0" headerRowDxfId="5" dataDxfId="4">
  <autoFilter ref="A34:F87" xr:uid="{8C774903-342E-4382-B3AF-5ACF15FF8B1F}"/>
  <tableColumns count="6">
    <tableColumn id="1" xr3:uid="{1521B1AA-9C52-4745-98AE-665B1C0E1910}" name="CÓDIGO (SKU)" dataDxfId="3"/>
    <tableColumn id="2" xr3:uid="{19246D92-C94A-4AF5-9586-14AF1FACBFCC}" name="DESCRIPCIÓN"/>
    <tableColumn id="3" xr3:uid="{40D2ACB4-557F-47B8-948B-2B4312D9BEE9}" name="U.M."/>
    <tableColumn id="4" xr3:uid="{346AD6E9-B02B-45A0-9A28-DAEAF1A6018D}" name="STOCK ACTUAL" dataDxfId="2"/>
    <tableColumn id="5" xr3:uid="{6548F614-D034-4738-B899-8D122CD631A6}" name="STOCK MÍNIMO" dataDxfId="1"/>
    <tableColumn id="6" xr3:uid="{3D056A77-4872-4B57-9913-4DB9C1A91661}" name="ALERTA STOCK" dataDxfId="0">
      <calculatedColumnFormula>IF(D35=0, "SIN STOCK", IF(D35&lt;=E35, "STOCK BAJO", "ÓPTIMO"))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7"/>
  <sheetViews>
    <sheetView tabSelected="1" zoomScale="70" zoomScaleNormal="70" workbookViewId="0">
      <selection activeCell="F1" sqref="F1:F2"/>
    </sheetView>
  </sheetViews>
  <sheetFormatPr defaultColWidth="9.109375" defaultRowHeight="14.4" x14ac:dyDescent="0.3"/>
  <cols>
    <col min="1" max="1" width="32" customWidth="1"/>
    <col min="2" max="2" width="50" customWidth="1"/>
    <col min="3" max="3" width="30" customWidth="1"/>
    <col min="4" max="4" width="18.109375" customWidth="1"/>
    <col min="5" max="5" width="18.44140625" customWidth="1"/>
    <col min="6" max="6" width="65" customWidth="1"/>
  </cols>
  <sheetData>
    <row r="1" spans="1:6" ht="16.8" x14ac:dyDescent="0.3">
      <c r="A1" s="12"/>
      <c r="B1" s="7"/>
      <c r="F1" s="6" t="s">
        <v>141</v>
      </c>
    </row>
    <row r="2" spans="1:6" x14ac:dyDescent="0.3">
      <c r="A2" s="7"/>
      <c r="B2" s="7"/>
      <c r="F2" s="24" t="s">
        <v>142</v>
      </c>
    </row>
    <row r="3" spans="1:6" x14ac:dyDescent="0.3">
      <c r="A3" s="7"/>
      <c r="B3" s="7"/>
    </row>
    <row r="4" spans="1:6" x14ac:dyDescent="0.3">
      <c r="A4" s="7" t="s">
        <v>72</v>
      </c>
      <c r="B4" s="7"/>
    </row>
    <row r="5" spans="1:6" x14ac:dyDescent="0.3">
      <c r="A5" s="7"/>
      <c r="B5" s="7"/>
    </row>
    <row r="7" spans="1:6" ht="39.9" customHeight="1" x14ac:dyDescent="0.3">
      <c r="A7" s="21" t="s">
        <v>0</v>
      </c>
      <c r="B7" s="22"/>
      <c r="C7" s="22"/>
      <c r="D7" s="22"/>
      <c r="E7" s="22"/>
      <c r="F7" s="22"/>
    </row>
    <row r="8" spans="1:6" ht="34.200000000000003" customHeight="1" x14ac:dyDescent="0.3">
      <c r="A8" s="6" t="s">
        <v>1</v>
      </c>
      <c r="B8" s="6" t="s">
        <v>73</v>
      </c>
      <c r="C8" s="1" t="s">
        <v>4</v>
      </c>
      <c r="D8" s="1" t="s">
        <v>5</v>
      </c>
      <c r="E8" s="1" t="s">
        <v>6</v>
      </c>
      <c r="F8" s="12" t="s">
        <v>74</v>
      </c>
    </row>
    <row r="9" spans="1:6" ht="15" x14ac:dyDescent="0.3">
      <c r="A9" t="e" cm="1" vm="1">
        <f t="array" aca="1" ref="A9" ca="1">_xlfn._xlws.FILTER(A35:E87, ISNUMBER(SEARCH(A4,B35:B87))+ISNUMBER(SEARCH(A4,A35:A87)), "Sin Datos")</f>
        <v>#VALUE!</v>
      </c>
      <c r="F9" s="10"/>
    </row>
    <row r="34" spans="1:6" ht="17.399999999999999" thickBot="1" x14ac:dyDescent="0.35">
      <c r="A34" s="6" t="s">
        <v>1</v>
      </c>
      <c r="B34" s="6" t="s">
        <v>73</v>
      </c>
      <c r="C34" s="1" t="s">
        <v>4</v>
      </c>
      <c r="D34" s="1" t="s">
        <v>5</v>
      </c>
      <c r="E34" s="1" t="s">
        <v>6</v>
      </c>
      <c r="F34" s="1" t="s">
        <v>7</v>
      </c>
    </row>
    <row r="35" spans="1:6" ht="15.6" thickBot="1" x14ac:dyDescent="0.35">
      <c r="A35" s="5" t="s">
        <v>17</v>
      </c>
      <c r="B35" s="13" t="s">
        <v>75</v>
      </c>
      <c r="C35" s="14" t="s">
        <v>76</v>
      </c>
      <c r="D35" s="5">
        <v>0</v>
      </c>
      <c r="E35" s="5">
        <v>0</v>
      </c>
      <c r="F35" s="10" t="str">
        <f t="shared" ref="F35:F45" si="0">IF(D35=0, "SIN STOCK", IF(D35&lt;=E35, "STOCK BAJO", "ÓPTIMO"))</f>
        <v>SIN STOCK</v>
      </c>
    </row>
    <row r="36" spans="1:6" ht="15.6" thickBot="1" x14ac:dyDescent="0.35">
      <c r="A36" s="5" t="s">
        <v>18</v>
      </c>
      <c r="B36" s="15" t="s">
        <v>77</v>
      </c>
      <c r="C36" s="16" t="s">
        <v>78</v>
      </c>
      <c r="D36" s="5">
        <v>0</v>
      </c>
      <c r="E36" s="5">
        <v>0</v>
      </c>
      <c r="F36" s="10" t="str">
        <f t="shared" si="0"/>
        <v>SIN STOCK</v>
      </c>
    </row>
    <row r="37" spans="1:6" ht="15.6" thickBot="1" x14ac:dyDescent="0.35">
      <c r="A37" s="5" t="s">
        <v>19</v>
      </c>
      <c r="B37" s="17" t="s">
        <v>79</v>
      </c>
      <c r="C37" s="18" t="s">
        <v>76</v>
      </c>
      <c r="D37" s="5">
        <v>0</v>
      </c>
      <c r="E37" s="5">
        <v>0</v>
      </c>
      <c r="F37" s="10" t="str">
        <f t="shared" si="0"/>
        <v>SIN STOCK</v>
      </c>
    </row>
    <row r="38" spans="1:6" ht="15.6" thickBot="1" x14ac:dyDescent="0.35">
      <c r="A38" s="5" t="s">
        <v>20</v>
      </c>
      <c r="B38" s="15" t="s">
        <v>80</v>
      </c>
      <c r="C38" s="16" t="s">
        <v>76</v>
      </c>
      <c r="D38" s="5">
        <v>0</v>
      </c>
      <c r="E38" s="5">
        <v>0</v>
      </c>
      <c r="F38" s="10" t="str">
        <f t="shared" si="0"/>
        <v>SIN STOCK</v>
      </c>
    </row>
    <row r="39" spans="1:6" ht="15.6" thickBot="1" x14ac:dyDescent="0.35">
      <c r="A39" s="5" t="s">
        <v>21</v>
      </c>
      <c r="B39" s="17" t="s">
        <v>81</v>
      </c>
      <c r="C39" s="18" t="s">
        <v>76</v>
      </c>
      <c r="D39" s="5">
        <v>0</v>
      </c>
      <c r="E39" s="5">
        <v>0</v>
      </c>
      <c r="F39" s="10" t="str">
        <f t="shared" si="0"/>
        <v>SIN STOCK</v>
      </c>
    </row>
    <row r="40" spans="1:6" ht="15.6" thickBot="1" x14ac:dyDescent="0.35">
      <c r="A40" s="5" t="s">
        <v>22</v>
      </c>
      <c r="B40" s="15" t="s">
        <v>82</v>
      </c>
      <c r="C40" s="16" t="s">
        <v>76</v>
      </c>
      <c r="D40" s="5">
        <v>0</v>
      </c>
      <c r="E40" s="5">
        <v>0</v>
      </c>
      <c r="F40" s="10" t="str">
        <f t="shared" si="0"/>
        <v>SIN STOCK</v>
      </c>
    </row>
    <row r="41" spans="1:6" ht="15.6" thickBot="1" x14ac:dyDescent="0.35">
      <c r="A41" s="5" t="s">
        <v>23</v>
      </c>
      <c r="B41" s="17" t="s">
        <v>83</v>
      </c>
      <c r="C41" s="18" t="s">
        <v>76</v>
      </c>
      <c r="D41" s="5">
        <v>0</v>
      </c>
      <c r="E41" s="5">
        <v>0</v>
      </c>
      <c r="F41" s="10" t="str">
        <f t="shared" si="0"/>
        <v>SIN STOCK</v>
      </c>
    </row>
    <row r="42" spans="1:6" ht="15.6" thickBot="1" x14ac:dyDescent="0.35">
      <c r="A42" s="5" t="s">
        <v>24</v>
      </c>
      <c r="B42" s="15" t="s">
        <v>84</v>
      </c>
      <c r="C42" s="16" t="s">
        <v>85</v>
      </c>
      <c r="D42" s="5">
        <v>0</v>
      </c>
      <c r="E42" s="5">
        <v>0</v>
      </c>
      <c r="F42" s="10" t="str">
        <f t="shared" si="0"/>
        <v>SIN STOCK</v>
      </c>
    </row>
    <row r="43" spans="1:6" ht="15.6" thickBot="1" x14ac:dyDescent="0.35">
      <c r="A43" s="5" t="s">
        <v>25</v>
      </c>
      <c r="B43" s="17" t="s">
        <v>86</v>
      </c>
      <c r="C43" s="18" t="s">
        <v>87</v>
      </c>
      <c r="D43" s="5">
        <v>0</v>
      </c>
      <c r="E43" s="5">
        <v>0</v>
      </c>
      <c r="F43" s="10" t="str">
        <f t="shared" si="0"/>
        <v>SIN STOCK</v>
      </c>
    </row>
    <row r="44" spans="1:6" ht="15.6" thickBot="1" x14ac:dyDescent="0.35">
      <c r="A44" s="5" t="s">
        <v>26</v>
      </c>
      <c r="B44" s="15" t="s">
        <v>88</v>
      </c>
      <c r="C44" s="16" t="s">
        <v>87</v>
      </c>
      <c r="D44" s="5">
        <v>0</v>
      </c>
      <c r="E44" s="5">
        <v>0</v>
      </c>
      <c r="F44" s="10" t="str">
        <f t="shared" si="0"/>
        <v>SIN STOCK</v>
      </c>
    </row>
    <row r="45" spans="1:6" ht="15.6" thickBot="1" x14ac:dyDescent="0.35">
      <c r="A45" s="5" t="s">
        <v>27</v>
      </c>
      <c r="B45" s="17" t="s">
        <v>89</v>
      </c>
      <c r="C45" s="18" t="s">
        <v>87</v>
      </c>
      <c r="D45" s="5">
        <v>0</v>
      </c>
      <c r="E45" s="5">
        <v>0</v>
      </c>
      <c r="F45" s="10" t="str">
        <f t="shared" si="0"/>
        <v>SIN STOCK</v>
      </c>
    </row>
    <row r="46" spans="1:6" ht="15.6" thickBot="1" x14ac:dyDescent="0.35">
      <c r="A46" s="5" t="s">
        <v>28</v>
      </c>
      <c r="B46" s="15" t="s">
        <v>90</v>
      </c>
      <c r="C46" s="16" t="s">
        <v>87</v>
      </c>
      <c r="D46" s="5">
        <v>0</v>
      </c>
      <c r="E46" s="5">
        <v>0</v>
      </c>
      <c r="F46" s="10" t="str">
        <f>IF(D46=0, "SIN STOCK", IF(D46&lt;=E46, "STOCK BAJO", "ÓPTIMO"))</f>
        <v>SIN STOCK</v>
      </c>
    </row>
    <row r="47" spans="1:6" ht="15.6" thickBot="1" x14ac:dyDescent="0.35">
      <c r="A47" s="5" t="s">
        <v>29</v>
      </c>
      <c r="B47" s="17" t="s">
        <v>91</v>
      </c>
      <c r="C47" s="18" t="s">
        <v>76</v>
      </c>
      <c r="D47" s="5">
        <v>0</v>
      </c>
      <c r="E47" s="5">
        <v>0</v>
      </c>
      <c r="F47" s="10" t="str">
        <f t="shared" ref="F47:F87" si="1">IF(D47=0, "SIN STOCK", IF(D47&lt;=E47, "STOCK BAJO", "ÓPTIMO"))</f>
        <v>SIN STOCK</v>
      </c>
    </row>
    <row r="48" spans="1:6" ht="15.6" thickBot="1" x14ac:dyDescent="0.35">
      <c r="A48" s="5" t="s">
        <v>30</v>
      </c>
      <c r="B48" s="15" t="s">
        <v>92</v>
      </c>
      <c r="C48" s="16" t="s">
        <v>76</v>
      </c>
      <c r="D48" s="5">
        <v>0</v>
      </c>
      <c r="E48" s="5">
        <v>0</v>
      </c>
      <c r="F48" s="10" t="str">
        <f t="shared" si="1"/>
        <v>SIN STOCK</v>
      </c>
    </row>
    <row r="49" spans="1:6" ht="15.6" thickBot="1" x14ac:dyDescent="0.35">
      <c r="A49" s="5" t="s">
        <v>31</v>
      </c>
      <c r="B49" s="17" t="s">
        <v>93</v>
      </c>
      <c r="C49" s="18" t="s">
        <v>94</v>
      </c>
      <c r="D49" s="5">
        <v>0</v>
      </c>
      <c r="E49" s="5">
        <v>0</v>
      </c>
      <c r="F49" s="10" t="str">
        <f t="shared" si="1"/>
        <v>SIN STOCK</v>
      </c>
    </row>
    <row r="50" spans="1:6" ht="15.6" thickBot="1" x14ac:dyDescent="0.35">
      <c r="A50" s="5" t="s">
        <v>32</v>
      </c>
      <c r="B50" s="15" t="s">
        <v>95</v>
      </c>
      <c r="C50" s="16" t="s">
        <v>96</v>
      </c>
      <c r="D50" s="5">
        <v>0</v>
      </c>
      <c r="E50" s="5">
        <v>0</v>
      </c>
      <c r="F50" s="10" t="str">
        <f t="shared" si="1"/>
        <v>SIN STOCK</v>
      </c>
    </row>
    <row r="51" spans="1:6" ht="15.6" thickBot="1" x14ac:dyDescent="0.35">
      <c r="A51" s="5" t="s">
        <v>33</v>
      </c>
      <c r="B51" s="17" t="s">
        <v>97</v>
      </c>
      <c r="C51" s="18" t="s">
        <v>98</v>
      </c>
      <c r="D51" s="5">
        <v>0</v>
      </c>
      <c r="E51" s="5">
        <v>0</v>
      </c>
      <c r="F51" s="10" t="str">
        <f t="shared" si="1"/>
        <v>SIN STOCK</v>
      </c>
    </row>
    <row r="52" spans="1:6" ht="15.6" thickBot="1" x14ac:dyDescent="0.35">
      <c r="A52" s="5" t="s">
        <v>34</v>
      </c>
      <c r="B52" s="15" t="s">
        <v>99</v>
      </c>
      <c r="C52" s="16" t="s">
        <v>100</v>
      </c>
      <c r="D52" s="5">
        <v>0</v>
      </c>
      <c r="E52" s="5">
        <v>0</v>
      </c>
      <c r="F52" s="10" t="str">
        <f t="shared" si="1"/>
        <v>SIN STOCK</v>
      </c>
    </row>
    <row r="53" spans="1:6" ht="15.6" thickBot="1" x14ac:dyDescent="0.35">
      <c r="A53" s="5" t="s">
        <v>35</v>
      </c>
      <c r="B53" s="17" t="s">
        <v>101</v>
      </c>
      <c r="C53" s="18" t="s">
        <v>102</v>
      </c>
      <c r="D53" s="5">
        <v>0</v>
      </c>
      <c r="E53" s="5">
        <v>0</v>
      </c>
      <c r="F53" s="10" t="str">
        <f t="shared" si="1"/>
        <v>SIN STOCK</v>
      </c>
    </row>
    <row r="54" spans="1:6" ht="15.6" thickBot="1" x14ac:dyDescent="0.35">
      <c r="A54" s="5" t="s">
        <v>36</v>
      </c>
      <c r="B54" s="19" t="s">
        <v>103</v>
      </c>
      <c r="C54" s="16" t="s">
        <v>104</v>
      </c>
      <c r="D54" s="5">
        <v>0</v>
      </c>
      <c r="E54" s="5">
        <v>0</v>
      </c>
      <c r="F54" s="10" t="str">
        <f t="shared" si="1"/>
        <v>SIN STOCK</v>
      </c>
    </row>
    <row r="55" spans="1:6" ht="15.6" thickBot="1" x14ac:dyDescent="0.35">
      <c r="A55" s="5" t="s">
        <v>37</v>
      </c>
      <c r="B55" s="17" t="s">
        <v>105</v>
      </c>
      <c r="C55" s="18" t="s">
        <v>106</v>
      </c>
      <c r="D55" s="5">
        <v>0</v>
      </c>
      <c r="E55" s="5">
        <v>0</v>
      </c>
      <c r="F55" s="10" t="str">
        <f t="shared" si="1"/>
        <v>SIN STOCK</v>
      </c>
    </row>
    <row r="56" spans="1:6" ht="15.6" thickBot="1" x14ac:dyDescent="0.35">
      <c r="A56" s="5" t="s">
        <v>38</v>
      </c>
      <c r="B56" s="15" t="s">
        <v>107</v>
      </c>
      <c r="C56" s="16" t="s">
        <v>76</v>
      </c>
      <c r="D56" s="5">
        <v>0</v>
      </c>
      <c r="E56" s="5">
        <v>0</v>
      </c>
      <c r="F56" s="10" t="str">
        <f t="shared" si="1"/>
        <v>SIN STOCK</v>
      </c>
    </row>
    <row r="57" spans="1:6" ht="15.6" thickBot="1" x14ac:dyDescent="0.35">
      <c r="A57" s="5" t="s">
        <v>39</v>
      </c>
      <c r="B57" s="17" t="s">
        <v>108</v>
      </c>
      <c r="C57" s="18" t="s">
        <v>76</v>
      </c>
      <c r="D57" s="5">
        <v>0</v>
      </c>
      <c r="E57" s="5">
        <v>0</v>
      </c>
      <c r="F57" s="10" t="str">
        <f t="shared" si="1"/>
        <v>SIN STOCK</v>
      </c>
    </row>
    <row r="58" spans="1:6" ht="15.6" thickBot="1" x14ac:dyDescent="0.35">
      <c r="A58" s="5" t="s">
        <v>40</v>
      </c>
      <c r="B58" s="15" t="s">
        <v>109</v>
      </c>
      <c r="C58" s="16" t="s">
        <v>76</v>
      </c>
      <c r="D58" s="5">
        <v>0</v>
      </c>
      <c r="E58" s="5">
        <v>0</v>
      </c>
      <c r="F58" s="10" t="str">
        <f t="shared" si="1"/>
        <v>SIN STOCK</v>
      </c>
    </row>
    <row r="59" spans="1:6" ht="15.6" thickBot="1" x14ac:dyDescent="0.35">
      <c r="A59" s="5" t="s">
        <v>41</v>
      </c>
      <c r="B59" s="17" t="s">
        <v>110</v>
      </c>
      <c r="C59" s="18" t="s">
        <v>76</v>
      </c>
      <c r="D59" s="5">
        <v>0</v>
      </c>
      <c r="E59" s="5">
        <v>0</v>
      </c>
      <c r="F59" s="10" t="str">
        <f t="shared" si="1"/>
        <v>SIN STOCK</v>
      </c>
    </row>
    <row r="60" spans="1:6" ht="15.6" thickBot="1" x14ac:dyDescent="0.35">
      <c r="A60" s="5" t="s">
        <v>42</v>
      </c>
      <c r="B60" s="15" t="s">
        <v>111</v>
      </c>
      <c r="C60" s="16" t="s">
        <v>76</v>
      </c>
      <c r="D60" s="5">
        <v>0</v>
      </c>
      <c r="E60" s="5">
        <v>0</v>
      </c>
      <c r="F60" s="10" t="str">
        <f t="shared" si="1"/>
        <v>SIN STOCK</v>
      </c>
    </row>
    <row r="61" spans="1:6" ht="15.6" thickBot="1" x14ac:dyDescent="0.35">
      <c r="A61" s="5" t="s">
        <v>43</v>
      </c>
      <c r="B61" s="17" t="s">
        <v>112</v>
      </c>
      <c r="C61" s="18" t="s">
        <v>76</v>
      </c>
      <c r="D61" s="5">
        <v>0</v>
      </c>
      <c r="E61" s="5">
        <v>0</v>
      </c>
      <c r="F61" s="10" t="str">
        <f t="shared" si="1"/>
        <v>SIN STOCK</v>
      </c>
    </row>
    <row r="62" spans="1:6" ht="15.6" thickBot="1" x14ac:dyDescent="0.35">
      <c r="A62" s="5" t="s">
        <v>44</v>
      </c>
      <c r="B62" s="15" t="s">
        <v>113</v>
      </c>
      <c r="C62" s="16" t="s">
        <v>76</v>
      </c>
      <c r="D62" s="5">
        <v>0</v>
      </c>
      <c r="E62" s="5">
        <v>0</v>
      </c>
      <c r="F62" s="10" t="str">
        <f t="shared" si="1"/>
        <v>SIN STOCK</v>
      </c>
    </row>
    <row r="63" spans="1:6" ht="15.6" thickBot="1" x14ac:dyDescent="0.35">
      <c r="A63" s="5" t="s">
        <v>45</v>
      </c>
      <c r="B63" s="17" t="s">
        <v>114</v>
      </c>
      <c r="C63" s="18" t="s">
        <v>115</v>
      </c>
      <c r="D63" s="5">
        <v>0</v>
      </c>
      <c r="E63" s="5">
        <v>0</v>
      </c>
      <c r="F63" s="10" t="str">
        <f t="shared" si="1"/>
        <v>SIN STOCK</v>
      </c>
    </row>
    <row r="64" spans="1:6" ht="15.6" thickBot="1" x14ac:dyDescent="0.35">
      <c r="A64" s="5" t="s">
        <v>46</v>
      </c>
      <c r="B64" s="15" t="s">
        <v>116</v>
      </c>
      <c r="C64" s="16" t="s">
        <v>115</v>
      </c>
      <c r="D64" s="5">
        <v>0</v>
      </c>
      <c r="E64" s="5">
        <v>0</v>
      </c>
      <c r="F64" s="10" t="str">
        <f t="shared" si="1"/>
        <v>SIN STOCK</v>
      </c>
    </row>
    <row r="65" spans="1:6" ht="15.6" thickBot="1" x14ac:dyDescent="0.35">
      <c r="A65" s="5" t="s">
        <v>47</v>
      </c>
      <c r="B65" s="20" t="s">
        <v>117</v>
      </c>
      <c r="C65" s="18" t="s">
        <v>115</v>
      </c>
      <c r="D65" s="5">
        <v>0</v>
      </c>
      <c r="E65" s="5">
        <v>0</v>
      </c>
      <c r="F65" s="10" t="str">
        <f t="shared" si="1"/>
        <v>SIN STOCK</v>
      </c>
    </row>
    <row r="66" spans="1:6" ht="15.6" thickBot="1" x14ac:dyDescent="0.35">
      <c r="A66" s="5" t="s">
        <v>48</v>
      </c>
      <c r="B66" s="19" t="s">
        <v>118</v>
      </c>
      <c r="C66" s="16" t="s">
        <v>119</v>
      </c>
      <c r="D66" s="5">
        <v>0</v>
      </c>
      <c r="E66" s="5">
        <v>0</v>
      </c>
      <c r="F66" s="10" t="str">
        <f t="shared" si="1"/>
        <v>SIN STOCK</v>
      </c>
    </row>
    <row r="67" spans="1:6" ht="15.6" thickBot="1" x14ac:dyDescent="0.35">
      <c r="A67" s="5" t="s">
        <v>49</v>
      </c>
      <c r="B67" s="20" t="s">
        <v>120</v>
      </c>
      <c r="C67" s="18" t="s">
        <v>115</v>
      </c>
      <c r="D67" s="5">
        <v>0</v>
      </c>
      <c r="E67" s="5">
        <v>0</v>
      </c>
      <c r="F67" s="10" t="str">
        <f t="shared" si="1"/>
        <v>SIN STOCK</v>
      </c>
    </row>
    <row r="68" spans="1:6" ht="15.6" thickBot="1" x14ac:dyDescent="0.35">
      <c r="A68" s="5" t="s">
        <v>50</v>
      </c>
      <c r="B68" s="19" t="s">
        <v>121</v>
      </c>
      <c r="C68" s="16" t="s">
        <v>115</v>
      </c>
      <c r="D68" s="5">
        <v>0</v>
      </c>
      <c r="E68" s="5">
        <v>0</v>
      </c>
      <c r="F68" s="10" t="str">
        <f t="shared" si="1"/>
        <v>SIN STOCK</v>
      </c>
    </row>
    <row r="69" spans="1:6" ht="15.6" thickBot="1" x14ac:dyDescent="0.35">
      <c r="A69" s="5" t="s">
        <v>51</v>
      </c>
      <c r="B69" s="20" t="s">
        <v>122</v>
      </c>
      <c r="C69" s="18" t="s">
        <v>115</v>
      </c>
      <c r="D69" s="5">
        <v>0</v>
      </c>
      <c r="E69" s="5">
        <v>0</v>
      </c>
      <c r="F69" s="10" t="str">
        <f t="shared" si="1"/>
        <v>SIN STOCK</v>
      </c>
    </row>
    <row r="70" spans="1:6" ht="15.6" thickBot="1" x14ac:dyDescent="0.35">
      <c r="A70" s="5" t="s">
        <v>52</v>
      </c>
      <c r="B70" s="19" t="s">
        <v>123</v>
      </c>
      <c r="C70" s="16" t="s">
        <v>76</v>
      </c>
      <c r="D70" s="5">
        <v>0</v>
      </c>
      <c r="E70" s="5">
        <v>0</v>
      </c>
      <c r="F70" s="10" t="str">
        <f t="shared" si="1"/>
        <v>SIN STOCK</v>
      </c>
    </row>
    <row r="71" spans="1:6" ht="15.6" thickBot="1" x14ac:dyDescent="0.35">
      <c r="A71" s="5" t="s">
        <v>53</v>
      </c>
      <c r="B71" s="20" t="s">
        <v>124</v>
      </c>
      <c r="C71" s="18" t="s">
        <v>76</v>
      </c>
      <c r="D71" s="5">
        <v>0</v>
      </c>
      <c r="E71" s="5">
        <v>0</v>
      </c>
      <c r="F71" s="10" t="str">
        <f t="shared" si="1"/>
        <v>SIN STOCK</v>
      </c>
    </row>
    <row r="72" spans="1:6" ht="15.6" thickBot="1" x14ac:dyDescent="0.35">
      <c r="A72" s="5" t="s">
        <v>54</v>
      </c>
      <c r="B72" s="19" t="s">
        <v>125</v>
      </c>
      <c r="C72" s="16" t="s">
        <v>76</v>
      </c>
      <c r="D72" s="5">
        <v>0</v>
      </c>
      <c r="E72" s="5">
        <v>0</v>
      </c>
      <c r="F72" s="10" t="str">
        <f t="shared" si="1"/>
        <v>SIN STOCK</v>
      </c>
    </row>
    <row r="73" spans="1:6" ht="15.6" thickBot="1" x14ac:dyDescent="0.35">
      <c r="A73" s="5" t="s">
        <v>55</v>
      </c>
      <c r="B73" s="20" t="s">
        <v>126</v>
      </c>
      <c r="C73" s="18" t="s">
        <v>76</v>
      </c>
      <c r="D73" s="5">
        <v>0</v>
      </c>
      <c r="E73" s="5">
        <v>0</v>
      </c>
      <c r="F73" s="10" t="str">
        <f t="shared" si="1"/>
        <v>SIN STOCK</v>
      </c>
    </row>
    <row r="74" spans="1:6" ht="15.6" thickBot="1" x14ac:dyDescent="0.35">
      <c r="A74" s="5" t="s">
        <v>56</v>
      </c>
      <c r="B74" s="19" t="s">
        <v>127</v>
      </c>
      <c r="C74" s="16" t="s">
        <v>76</v>
      </c>
      <c r="D74" s="5">
        <v>0</v>
      </c>
      <c r="E74" s="5">
        <v>0</v>
      </c>
      <c r="F74" s="10" t="str">
        <f t="shared" si="1"/>
        <v>SIN STOCK</v>
      </c>
    </row>
    <row r="75" spans="1:6" ht="15.6" thickBot="1" x14ac:dyDescent="0.35">
      <c r="A75" s="5" t="s">
        <v>57</v>
      </c>
      <c r="B75" s="20" t="s">
        <v>128</v>
      </c>
      <c r="C75" s="18" t="s">
        <v>76</v>
      </c>
      <c r="D75" s="5">
        <v>0</v>
      </c>
      <c r="E75" s="5">
        <v>0</v>
      </c>
      <c r="F75" s="10" t="str">
        <f t="shared" si="1"/>
        <v>SIN STOCK</v>
      </c>
    </row>
    <row r="76" spans="1:6" ht="15.6" thickBot="1" x14ac:dyDescent="0.35">
      <c r="A76" s="5" t="s">
        <v>58</v>
      </c>
      <c r="B76" s="19" t="s">
        <v>129</v>
      </c>
      <c r="C76" s="16" t="s">
        <v>76</v>
      </c>
      <c r="D76" s="5">
        <v>0</v>
      </c>
      <c r="E76" s="5">
        <v>0</v>
      </c>
      <c r="F76" s="10" t="str">
        <f t="shared" si="1"/>
        <v>SIN STOCK</v>
      </c>
    </row>
    <row r="77" spans="1:6" ht="15.6" thickBot="1" x14ac:dyDescent="0.35">
      <c r="A77" s="5" t="s">
        <v>59</v>
      </c>
      <c r="B77" s="20" t="s">
        <v>130</v>
      </c>
      <c r="C77" s="18" t="s">
        <v>76</v>
      </c>
      <c r="D77" s="5">
        <v>0</v>
      </c>
      <c r="E77" s="5">
        <v>0</v>
      </c>
      <c r="F77" s="10" t="str">
        <f t="shared" si="1"/>
        <v>SIN STOCK</v>
      </c>
    </row>
    <row r="78" spans="1:6" ht="15.6" thickBot="1" x14ac:dyDescent="0.35">
      <c r="A78" s="5" t="s">
        <v>60</v>
      </c>
      <c r="B78" s="19" t="s">
        <v>131</v>
      </c>
      <c r="C78" s="16" t="s">
        <v>76</v>
      </c>
      <c r="D78" s="5">
        <v>0</v>
      </c>
      <c r="E78" s="5">
        <v>0</v>
      </c>
      <c r="F78" s="10" t="str">
        <f t="shared" si="1"/>
        <v>SIN STOCK</v>
      </c>
    </row>
    <row r="79" spans="1:6" ht="15.6" thickBot="1" x14ac:dyDescent="0.35">
      <c r="A79" s="5" t="s">
        <v>61</v>
      </c>
      <c r="B79" s="20" t="s">
        <v>132</v>
      </c>
      <c r="C79" s="18" t="s">
        <v>76</v>
      </c>
      <c r="D79" s="5">
        <v>0</v>
      </c>
      <c r="E79" s="5">
        <v>0</v>
      </c>
      <c r="F79" s="10" t="str">
        <f t="shared" si="1"/>
        <v>SIN STOCK</v>
      </c>
    </row>
    <row r="80" spans="1:6" ht="15.6" thickBot="1" x14ac:dyDescent="0.35">
      <c r="A80" s="5" t="s">
        <v>62</v>
      </c>
      <c r="B80" s="19" t="s">
        <v>133</v>
      </c>
      <c r="C80" s="16" t="s">
        <v>76</v>
      </c>
      <c r="D80" s="5">
        <v>0</v>
      </c>
      <c r="E80" s="5">
        <v>0</v>
      </c>
      <c r="F80" s="10" t="str">
        <f t="shared" si="1"/>
        <v>SIN STOCK</v>
      </c>
    </row>
    <row r="81" spans="1:6" ht="15.6" thickBot="1" x14ac:dyDescent="0.35">
      <c r="A81" s="5" t="s">
        <v>63</v>
      </c>
      <c r="B81" s="20" t="s">
        <v>134</v>
      </c>
      <c r="C81" s="18" t="s">
        <v>76</v>
      </c>
      <c r="D81" s="5">
        <v>0</v>
      </c>
      <c r="E81" s="5">
        <v>0</v>
      </c>
      <c r="F81" s="10" t="str">
        <f t="shared" si="1"/>
        <v>SIN STOCK</v>
      </c>
    </row>
    <row r="82" spans="1:6" ht="15.6" thickBot="1" x14ac:dyDescent="0.35">
      <c r="A82" s="5" t="s">
        <v>64</v>
      </c>
      <c r="B82" s="15" t="s">
        <v>135</v>
      </c>
      <c r="C82" s="16" t="s">
        <v>76</v>
      </c>
      <c r="D82" s="5">
        <v>0</v>
      </c>
      <c r="E82" s="5">
        <v>0</v>
      </c>
      <c r="F82" s="10" t="str">
        <f t="shared" si="1"/>
        <v>SIN STOCK</v>
      </c>
    </row>
    <row r="83" spans="1:6" ht="15.6" thickBot="1" x14ac:dyDescent="0.35">
      <c r="A83" s="5" t="s">
        <v>65</v>
      </c>
      <c r="B83" s="17" t="s">
        <v>136</v>
      </c>
      <c r="C83" s="18" t="s">
        <v>76</v>
      </c>
      <c r="D83" s="5">
        <v>0</v>
      </c>
      <c r="E83" s="5">
        <v>0</v>
      </c>
      <c r="F83" s="10" t="str">
        <f t="shared" si="1"/>
        <v>SIN STOCK</v>
      </c>
    </row>
    <row r="84" spans="1:6" ht="15.6" thickBot="1" x14ac:dyDescent="0.35">
      <c r="A84" s="5" t="s">
        <v>66</v>
      </c>
      <c r="B84" s="15" t="s">
        <v>137</v>
      </c>
      <c r="C84" s="16" t="s">
        <v>76</v>
      </c>
      <c r="D84" s="5">
        <v>0</v>
      </c>
      <c r="E84" s="5">
        <v>0</v>
      </c>
      <c r="F84" s="10" t="str">
        <f t="shared" si="1"/>
        <v>SIN STOCK</v>
      </c>
    </row>
    <row r="85" spans="1:6" ht="15.6" thickBot="1" x14ac:dyDescent="0.35">
      <c r="A85" s="5" t="s">
        <v>67</v>
      </c>
      <c r="B85" s="17" t="s">
        <v>138</v>
      </c>
      <c r="C85" s="18" t="s">
        <v>76</v>
      </c>
      <c r="D85" s="5">
        <v>0</v>
      </c>
      <c r="E85" s="5">
        <v>0</v>
      </c>
      <c r="F85" s="10" t="str">
        <f t="shared" si="1"/>
        <v>SIN STOCK</v>
      </c>
    </row>
    <row r="86" spans="1:6" ht="15.6" thickBot="1" x14ac:dyDescent="0.35">
      <c r="A86" s="5" t="s">
        <v>68</v>
      </c>
      <c r="B86" s="15" t="s">
        <v>139</v>
      </c>
      <c r="C86" s="16" t="s">
        <v>76</v>
      </c>
      <c r="D86" s="5">
        <v>0</v>
      </c>
      <c r="E86" s="5">
        <v>0</v>
      </c>
      <c r="F86" s="10" t="str">
        <f t="shared" si="1"/>
        <v>SIN STOCK</v>
      </c>
    </row>
    <row r="87" spans="1:6" ht="15.6" thickBot="1" x14ac:dyDescent="0.35">
      <c r="A87" s="5" t="s">
        <v>69</v>
      </c>
      <c r="B87" s="17" t="s">
        <v>140</v>
      </c>
      <c r="C87" s="18" t="s">
        <v>76</v>
      </c>
      <c r="D87" s="5">
        <v>0</v>
      </c>
      <c r="E87" s="5">
        <v>0</v>
      </c>
      <c r="F87" s="10" t="str">
        <f t="shared" si="1"/>
        <v>SIN STOCK</v>
      </c>
    </row>
  </sheetData>
  <mergeCells count="1">
    <mergeCell ref="A7:F7"/>
  </mergeCells>
  <conditionalFormatting sqref="A35:A87 D35:F87">
    <cfRule type="containsText" dxfId="17" priority="10" operator="containsText" text="A4">
      <formula>NOT(ISERROR(SEARCH("A4",A35)))</formula>
    </cfRule>
    <cfRule type="containsText" dxfId="16" priority="11" operator="containsText" text="$A$4">
      <formula>NOT(ISERROR(SEARCH("$A$4",A35)))</formula>
    </cfRule>
  </conditionalFormatting>
  <conditionalFormatting sqref="D35:F87">
    <cfRule type="containsText" dxfId="15" priority="12" operator="containsText" text="A4$A$4">
      <formula>NOT(ISERROR(SEARCH("A4$A$4",D35)))</formula>
    </cfRule>
  </conditionalFormatting>
  <conditionalFormatting sqref="F35:F87">
    <cfRule type="containsText" dxfId="14" priority="7" operator="containsText" text="STOCK BAJO">
      <formula>NOT(ISERROR(SEARCH("STOCK BAJO",F35)))</formula>
    </cfRule>
    <cfRule type="containsText" dxfId="13" priority="8" operator="containsText" text="SIN STOCK">
      <formula>NOT(ISERROR(SEARCH("SIN STOCK",F35)))</formula>
    </cfRule>
    <cfRule type="containsText" dxfId="12" priority="9" operator="containsText" text="ÓPTIMO">
      <formula>NOT(ISERROR(SEARCH("ÓPTIMO",F35)))</formula>
    </cfRule>
  </conditionalFormatting>
  <conditionalFormatting sqref="F9">
    <cfRule type="containsText" dxfId="11" priority="4" operator="containsText" text="A4">
      <formula>NOT(ISERROR(SEARCH("A4",F9)))</formula>
    </cfRule>
    <cfRule type="containsText" dxfId="10" priority="5" operator="containsText" text="$A$4">
      <formula>NOT(ISERROR(SEARCH("$A$4",F9)))</formula>
    </cfRule>
  </conditionalFormatting>
  <conditionalFormatting sqref="F9">
    <cfRule type="containsText" dxfId="9" priority="6" operator="containsText" text="A4$A$4">
      <formula>NOT(ISERROR(SEARCH("A4$A$4",F9)))</formula>
    </cfRule>
  </conditionalFormatting>
  <conditionalFormatting sqref="F9">
    <cfRule type="containsText" dxfId="8" priority="1" operator="containsText" text="STOCK BAJO">
      <formula>NOT(ISERROR(SEARCH("STOCK BAJO",F9)))</formula>
    </cfRule>
    <cfRule type="containsText" dxfId="7" priority="2" operator="containsText" text="SIN STOCK">
      <formula>NOT(ISERROR(SEARCH("SIN STOCK",F9)))</formula>
    </cfRule>
    <cfRule type="containsText" dxfId="6" priority="3" operator="containsText" text="ÓPTIMO">
      <formula>NOT(ISERROR(SEARCH("ÓPTIMO",F9)))</formula>
    </cfRule>
  </conditionalFormatting>
  <pageMargins left="0.75" right="0.75" top="1" bottom="1" header="0.5" footer="0.5"/>
  <pageSetup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A4" r:id="rId5">
            <anchor moveWithCells="1">
              <from>
                <xdr:col>0</xdr:col>
                <xdr:colOff>1356360</xdr:colOff>
                <xdr:row>1</xdr:row>
                <xdr:rowOff>45720</xdr:rowOff>
              </from>
              <to>
                <xdr:col>4</xdr:col>
                <xdr:colOff>830580</xdr:colOff>
                <xdr:row>3</xdr:row>
                <xdr:rowOff>144780</xdr:rowOff>
              </to>
            </anchor>
          </controlPr>
        </control>
      </mc:Choice>
      <mc:Fallback>
        <control shapeId="1025" r:id="rId4" name="TextBox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5C93A-261B-4BEF-B9CC-B49D3E4CB022}">
  <sheetPr codeName="Sheet2"/>
  <dimension ref="A1:N9"/>
  <sheetViews>
    <sheetView workbookViewId="0">
      <selection activeCell="B2" sqref="B2"/>
    </sheetView>
  </sheetViews>
  <sheetFormatPr defaultRowHeight="14.4" x14ac:dyDescent="0.3"/>
  <cols>
    <col min="1" max="1" width="13.6640625" customWidth="1"/>
    <col min="2" max="2" width="26.44140625" customWidth="1"/>
    <col min="3" max="3" width="21.44140625" customWidth="1"/>
    <col min="5" max="5" width="8.88671875" customWidth="1"/>
    <col min="6" max="6" width="21.77734375" customWidth="1"/>
    <col min="7" max="7" width="9" customWidth="1"/>
    <col min="10" max="10" width="19.77734375" customWidth="1"/>
    <col min="11" max="11" width="17" customWidth="1"/>
    <col min="12" max="12" width="20.109375" customWidth="1"/>
    <col min="13" max="13" width="17.77734375" customWidth="1"/>
  </cols>
  <sheetData>
    <row r="1" spans="1:14" ht="118.2" customHeight="1" thickBot="1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J1" s="8" t="s">
        <v>1</v>
      </c>
      <c r="K1" s="8" t="s">
        <v>2</v>
      </c>
      <c r="L1" s="8" t="s">
        <v>3</v>
      </c>
      <c r="M1" s="11" t="s">
        <v>71</v>
      </c>
      <c r="N1" s="8" t="s">
        <v>5</v>
      </c>
    </row>
    <row r="2" spans="1:14" ht="40.799999999999997" customHeight="1" thickBot="1" x14ac:dyDescent="0.35">
      <c r="A2" s="5" t="s">
        <v>24</v>
      </c>
      <c r="B2" s="5" t="s">
        <v>16</v>
      </c>
      <c r="C2" s="5" t="s">
        <v>11</v>
      </c>
      <c r="D2" s="5">
        <v>0</v>
      </c>
      <c r="E2" s="5">
        <v>10</v>
      </c>
      <c r="F2" s="3" t="str">
        <f t="shared" ref="F2:F6" si="0">IF(D2=0, "SIN STOCK", IF(D2&lt;=E2, "STOCK BAJO", "ÓPTIMO"))</f>
        <v>SIN STOCK</v>
      </c>
      <c r="G2" s="5">
        <v>0</v>
      </c>
      <c r="J2" s="5" t="s">
        <v>24</v>
      </c>
      <c r="K2" s="5" t="s">
        <v>16</v>
      </c>
      <c r="L2" s="5" t="s">
        <v>11</v>
      </c>
      <c r="M2" s="5">
        <v>0</v>
      </c>
      <c r="N2" s="5">
        <v>10</v>
      </c>
    </row>
    <row r="3" spans="1:14" ht="27.6" thickBot="1" x14ac:dyDescent="0.35">
      <c r="A3" s="5" t="s">
        <v>25</v>
      </c>
      <c r="B3" s="5" t="s">
        <v>12</v>
      </c>
      <c r="C3" s="5" t="s">
        <v>10</v>
      </c>
      <c r="D3" s="5">
        <v>0</v>
      </c>
      <c r="E3" s="5">
        <v>10</v>
      </c>
      <c r="F3" s="3" t="str">
        <f t="shared" si="0"/>
        <v>SIN STOCK</v>
      </c>
      <c r="G3" s="5">
        <v>0</v>
      </c>
      <c r="J3" s="5" t="s">
        <v>25</v>
      </c>
      <c r="K3" s="5" t="s">
        <v>12</v>
      </c>
      <c r="L3" s="5" t="s">
        <v>10</v>
      </c>
      <c r="M3" s="5">
        <v>0</v>
      </c>
      <c r="N3" s="5">
        <v>10</v>
      </c>
    </row>
    <row r="4" spans="1:14" ht="27.6" thickBot="1" x14ac:dyDescent="0.35">
      <c r="A4" s="5" t="s">
        <v>26</v>
      </c>
      <c r="B4" s="5" t="s">
        <v>13</v>
      </c>
      <c r="C4" s="5" t="s">
        <v>10</v>
      </c>
      <c r="D4" s="5">
        <v>0</v>
      </c>
      <c r="E4" s="5">
        <v>10</v>
      </c>
      <c r="F4" s="3" t="str">
        <f t="shared" si="0"/>
        <v>SIN STOCK</v>
      </c>
      <c r="G4" s="5">
        <v>0</v>
      </c>
      <c r="J4" s="5" t="s">
        <v>26</v>
      </c>
      <c r="K4" s="5" t="s">
        <v>13</v>
      </c>
      <c r="L4" s="5" t="s">
        <v>10</v>
      </c>
      <c r="M4" s="5">
        <v>0</v>
      </c>
      <c r="N4" s="5">
        <v>10</v>
      </c>
    </row>
    <row r="5" spans="1:14" ht="27.6" thickBot="1" x14ac:dyDescent="0.35">
      <c r="A5" s="5" t="s">
        <v>27</v>
      </c>
      <c r="B5" s="5" t="s">
        <v>14</v>
      </c>
      <c r="C5" s="5" t="s">
        <v>10</v>
      </c>
      <c r="D5" s="5">
        <v>8</v>
      </c>
      <c r="E5" s="5">
        <v>5</v>
      </c>
      <c r="F5" s="2" t="str">
        <f t="shared" si="0"/>
        <v>ÓPTIMO</v>
      </c>
      <c r="G5" s="5">
        <v>0</v>
      </c>
      <c r="J5" s="5" t="s">
        <v>27</v>
      </c>
      <c r="K5" s="5" t="s">
        <v>14</v>
      </c>
      <c r="L5" s="5" t="s">
        <v>10</v>
      </c>
      <c r="M5" s="5">
        <v>8</v>
      </c>
      <c r="N5" s="5">
        <v>5</v>
      </c>
    </row>
    <row r="6" spans="1:14" ht="27.6" thickBot="1" x14ac:dyDescent="0.35">
      <c r="A6" s="5" t="s">
        <v>28</v>
      </c>
      <c r="B6" s="5" t="s">
        <v>15</v>
      </c>
      <c r="C6" s="5" t="s">
        <v>10</v>
      </c>
      <c r="D6" s="5">
        <v>8</v>
      </c>
      <c r="E6" s="5">
        <v>10</v>
      </c>
      <c r="F6" s="4" t="str">
        <f t="shared" si="0"/>
        <v>STOCK BAJO</v>
      </c>
      <c r="G6" s="5">
        <v>0</v>
      </c>
      <c r="J6" s="5" t="s">
        <v>28</v>
      </c>
      <c r="K6" s="5" t="s">
        <v>15</v>
      </c>
      <c r="L6" s="5" t="s">
        <v>10</v>
      </c>
      <c r="M6" s="5">
        <v>8</v>
      </c>
      <c r="N6" s="5">
        <v>10</v>
      </c>
    </row>
    <row r="7" spans="1:14" ht="17.399999999999999" thickBot="1" x14ac:dyDescent="0.35">
      <c r="A7" s="23" t="s">
        <v>8</v>
      </c>
      <c r="B7" s="23"/>
      <c r="C7" s="23"/>
      <c r="D7" s="23"/>
      <c r="E7" s="23"/>
      <c r="F7" s="23"/>
      <c r="G7" s="23"/>
      <c r="J7" s="23"/>
      <c r="K7" s="23"/>
      <c r="L7" s="23"/>
      <c r="M7" s="23"/>
      <c r="N7" s="23"/>
    </row>
    <row r="8" spans="1:14" ht="15" thickTop="1" x14ac:dyDescent="0.3"/>
    <row r="9" spans="1:14" ht="33.6" x14ac:dyDescent="0.3">
      <c r="A9" s="6" t="s">
        <v>70</v>
      </c>
      <c r="J9" s="9" t="s">
        <v>9</v>
      </c>
    </row>
  </sheetData>
  <mergeCells count="2">
    <mergeCell ref="A7:G7"/>
    <mergeCell ref="J7:N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Inventario Fibra Óptica</vt:lpstr>
      <vt:lpstr>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Gerald Crowd Quartz</cp:lastModifiedBy>
  <dcterms:created xsi:type="dcterms:W3CDTF">2026-08-17T17:26:03Z</dcterms:created>
  <dcterms:modified xsi:type="dcterms:W3CDTF">2026-08-25T04:34:49Z</dcterms:modified>
</cp:coreProperties>
</file>